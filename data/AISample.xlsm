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75" windowWidth="22035" windowHeight="113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K34" i="1"/>
  <c r="L34" s="1"/>
  <c r="K33"/>
  <c r="L33" s="1"/>
  <c r="K32"/>
  <c r="L32" s="1"/>
  <c r="K31"/>
  <c r="L31" s="1"/>
  <c r="K30"/>
  <c r="L30" s="1"/>
  <c r="K29"/>
  <c r="L29" s="1"/>
  <c r="K28"/>
  <c r="L28" s="1"/>
  <c r="K27"/>
  <c r="L27" s="1"/>
  <c r="K26"/>
  <c r="L26" s="1"/>
  <c r="K25"/>
  <c r="L25" s="1"/>
  <c r="K24"/>
  <c r="L24" s="1"/>
  <c r="K23"/>
  <c r="L23" s="1"/>
  <c r="K22"/>
  <c r="L22" s="1"/>
  <c r="K21"/>
  <c r="L21" s="1"/>
  <c r="K20"/>
  <c r="L20" s="1"/>
  <c r="K19"/>
  <c r="L19" s="1"/>
  <c r="K18"/>
  <c r="L18" s="1"/>
  <c r="K17"/>
  <c r="L17" s="1"/>
  <c r="K16"/>
  <c r="L16" s="1"/>
  <c r="K15"/>
  <c r="L15" s="1"/>
  <c r="K14"/>
  <c r="L14" s="1"/>
  <c r="K13"/>
  <c r="L13" s="1"/>
  <c r="K12"/>
  <c r="L12" s="1"/>
  <c r="K11"/>
  <c r="L11" s="1"/>
  <c r="K10"/>
  <c r="L10" s="1"/>
  <c r="K9"/>
  <c r="L9" s="1"/>
  <c r="K8"/>
  <c r="L8" s="1"/>
  <c r="K7"/>
  <c r="L7" s="1"/>
  <c r="K6"/>
  <c r="L6" s="1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D34"/>
  <c r="B34" s="1"/>
  <c r="G34" s="1"/>
  <c r="A34"/>
  <c r="D33"/>
  <c r="C33" s="1"/>
  <c r="H33" s="1"/>
  <c r="A33"/>
  <c r="D32"/>
  <c r="E32" s="1"/>
  <c r="J32" s="1"/>
  <c r="A32"/>
  <c r="D31"/>
  <c r="E31" s="1"/>
  <c r="J31" s="1"/>
  <c r="A31"/>
  <c r="D30"/>
  <c r="B30" s="1"/>
  <c r="G30" s="1"/>
  <c r="A30"/>
  <c r="D29"/>
  <c r="C29" s="1"/>
  <c r="H29" s="1"/>
  <c r="A29"/>
  <c r="D28"/>
  <c r="C28" s="1"/>
  <c r="H28" s="1"/>
  <c r="A28"/>
  <c r="D27"/>
  <c r="E27" s="1"/>
  <c r="J27" s="1"/>
  <c r="A27"/>
  <c r="D26"/>
  <c r="B26" s="1"/>
  <c r="G26" s="1"/>
  <c r="A26"/>
  <c r="D25"/>
  <c r="C25" s="1"/>
  <c r="H25" s="1"/>
  <c r="A25"/>
  <c r="D24"/>
  <c r="E24" s="1"/>
  <c r="J24" s="1"/>
  <c r="A24"/>
  <c r="D23"/>
  <c r="E23" s="1"/>
  <c r="J23" s="1"/>
  <c r="A23"/>
  <c r="D22"/>
  <c r="B22" s="1"/>
  <c r="G22" s="1"/>
  <c r="A22"/>
  <c r="D21"/>
  <c r="C21" s="1"/>
  <c r="H21" s="1"/>
  <c r="A21"/>
  <c r="D20"/>
  <c r="C20" s="1"/>
  <c r="H20" s="1"/>
  <c r="A20"/>
  <c r="D19"/>
  <c r="E19" s="1"/>
  <c r="J19" s="1"/>
  <c r="A19"/>
  <c r="D18"/>
  <c r="B18" s="1"/>
  <c r="G18" s="1"/>
  <c r="A18"/>
  <c r="D17"/>
  <c r="C17" s="1"/>
  <c r="H17" s="1"/>
  <c r="A17"/>
  <c r="D16"/>
  <c r="E16" s="1"/>
  <c r="J16" s="1"/>
  <c r="A16"/>
  <c r="D15"/>
  <c r="E15" s="1"/>
  <c r="J15" s="1"/>
  <c r="A15"/>
  <c r="D14"/>
  <c r="B14" s="1"/>
  <c r="G14" s="1"/>
  <c r="A14"/>
  <c r="D13"/>
  <c r="C13" s="1"/>
  <c r="H13" s="1"/>
  <c r="A13"/>
  <c r="D12"/>
  <c r="C12" s="1"/>
  <c r="H12" s="1"/>
  <c r="A12"/>
  <c r="D11"/>
  <c r="E11" s="1"/>
  <c r="J11" s="1"/>
  <c r="A11"/>
  <c r="D10"/>
  <c r="B10" s="1"/>
  <c r="G10" s="1"/>
  <c r="A10"/>
  <c r="D9"/>
  <c r="C9" s="1"/>
  <c r="H9" s="1"/>
  <c r="A9"/>
  <c r="D8"/>
  <c r="E8" s="1"/>
  <c r="J8" s="1"/>
  <c r="A8"/>
  <c r="D7"/>
  <c r="E7" s="1"/>
  <c r="J7" s="1"/>
  <c r="A7"/>
  <c r="D6"/>
  <c r="B6" s="1"/>
  <c r="G6" s="1"/>
  <c r="F6"/>
  <c r="A6"/>
  <c r="I24" l="1"/>
  <c r="I16"/>
  <c r="I28"/>
  <c r="I8"/>
  <c r="I20"/>
  <c r="I12"/>
  <c r="I32"/>
  <c r="I7"/>
  <c r="I11"/>
  <c r="I15"/>
  <c r="I23"/>
  <c r="I9"/>
  <c r="I13"/>
  <c r="I17"/>
  <c r="I21"/>
  <c r="I25"/>
  <c r="I29"/>
  <c r="I33"/>
  <c r="I19"/>
  <c r="I27"/>
  <c r="I31"/>
  <c r="I10"/>
  <c r="I14"/>
  <c r="I18"/>
  <c r="I22"/>
  <c r="I26"/>
  <c r="I30"/>
  <c r="I34"/>
  <c r="I6"/>
  <c r="E30"/>
  <c r="J30" s="1"/>
  <c r="E29"/>
  <c r="J29" s="1"/>
  <c r="E20"/>
  <c r="J20" s="1"/>
  <c r="E26"/>
  <c r="J26" s="1"/>
  <c r="B12"/>
  <c r="G12" s="1"/>
  <c r="E12"/>
  <c r="J12" s="1"/>
  <c r="E21"/>
  <c r="J21" s="1"/>
  <c r="B28"/>
  <c r="G28" s="1"/>
  <c r="E13"/>
  <c r="J13" s="1"/>
  <c r="E18"/>
  <c r="J18" s="1"/>
  <c r="B20"/>
  <c r="G20" s="1"/>
  <c r="E22"/>
  <c r="J22" s="1"/>
  <c r="E10"/>
  <c r="J10" s="1"/>
  <c r="E14"/>
  <c r="J14" s="1"/>
  <c r="E28"/>
  <c r="J28" s="1"/>
  <c r="E34"/>
  <c r="J34" s="1"/>
  <c r="C8"/>
  <c r="H8" s="1"/>
  <c r="B9"/>
  <c r="G9" s="1"/>
  <c r="C16"/>
  <c r="H16" s="1"/>
  <c r="B17"/>
  <c r="G17" s="1"/>
  <c r="C24"/>
  <c r="H24" s="1"/>
  <c r="B25"/>
  <c r="G25" s="1"/>
  <c r="C32"/>
  <c r="H32" s="1"/>
  <c r="B33"/>
  <c r="G33" s="1"/>
  <c r="B8"/>
  <c r="G8" s="1"/>
  <c r="B16"/>
  <c r="G16" s="1"/>
  <c r="B24"/>
  <c r="G24" s="1"/>
  <c r="B32"/>
  <c r="G32" s="1"/>
  <c r="E9"/>
  <c r="J9" s="1"/>
  <c r="B13"/>
  <c r="G13" s="1"/>
  <c r="E17"/>
  <c r="J17" s="1"/>
  <c r="B21"/>
  <c r="G21" s="1"/>
  <c r="E25"/>
  <c r="J25" s="1"/>
  <c r="B29"/>
  <c r="G29" s="1"/>
  <c r="E33"/>
  <c r="J33" s="1"/>
  <c r="B7"/>
  <c r="G7" s="1"/>
  <c r="C10"/>
  <c r="H10" s="1"/>
  <c r="B11"/>
  <c r="G11" s="1"/>
  <c r="C14"/>
  <c r="H14" s="1"/>
  <c r="B15"/>
  <c r="G15" s="1"/>
  <c r="C18"/>
  <c r="H18" s="1"/>
  <c r="B19"/>
  <c r="G19" s="1"/>
  <c r="C22"/>
  <c r="H22" s="1"/>
  <c r="B23"/>
  <c r="G23" s="1"/>
  <c r="C26"/>
  <c r="H26" s="1"/>
  <c r="B27"/>
  <c r="G27" s="1"/>
  <c r="C30"/>
  <c r="H30" s="1"/>
  <c r="B31"/>
  <c r="G31" s="1"/>
  <c r="C34"/>
  <c r="H34" s="1"/>
  <c r="C7"/>
  <c r="H7" s="1"/>
  <c r="C11"/>
  <c r="H11" s="1"/>
  <c r="C15"/>
  <c r="H15" s="1"/>
  <c r="C19"/>
  <c r="H19" s="1"/>
  <c r="C23"/>
  <c r="H23" s="1"/>
  <c r="C27"/>
  <c r="H27" s="1"/>
  <c r="C31"/>
  <c r="H31" s="1"/>
  <c r="E6"/>
  <c r="J6" s="1"/>
  <c r="C6"/>
  <c r="H6" s="1"/>
</calcChain>
</file>

<file path=xl/sharedStrings.xml><?xml version="1.0" encoding="utf-8"?>
<sst xmlns="http://schemas.openxmlformats.org/spreadsheetml/2006/main" count="28" uniqueCount="18">
  <si>
    <t>TLC</t>
  </si>
  <si>
    <t xml:space="preserve">Height </t>
  </si>
  <si>
    <t>cm</t>
  </si>
  <si>
    <t>Litres</t>
  </si>
  <si>
    <t>Age</t>
  </si>
  <si>
    <t>years</t>
  </si>
  <si>
    <t>Weight</t>
  </si>
  <si>
    <t>Kg</t>
  </si>
  <si>
    <t>QofLife</t>
  </si>
  <si>
    <t>1-10</t>
  </si>
  <si>
    <t>Survival</t>
  </si>
  <si>
    <t>Months</t>
  </si>
  <si>
    <t>DONOR</t>
  </si>
  <si>
    <t>RECIPIENT</t>
  </si>
  <si>
    <t>Sex</t>
  </si>
  <si>
    <t>M/F</t>
  </si>
  <si>
    <t>Match Procedure</t>
  </si>
  <si>
    <t>RESULTS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</si>
</sst>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1" fillId="2" borderId="0" xfId="0" applyFont="1" applyFill="1"/>
    <xf numFmtId="16" fontId="1" fillId="2" borderId="0" xfId="0" quotePrefix="1" applyNumberFormat="1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" fontId="0" fillId="0" borderId="0" xfId="0" applyNumberFormat="1"/>
    <xf numFmtId="1" fontId="1" fillId="0" borderId="0" xfId="0" applyNumberFormat="1" applyFont="1"/>
    <xf numFmtId="1" fontId="1" fillId="3" borderId="0" xfId="0" applyNumberFormat="1" applyFont="1" applyFill="1"/>
    <xf numFmtId="1" fontId="0" fillId="3" borderId="0" xfId="0" applyNumberFormat="1" applyFill="1"/>
    <xf numFmtId="1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1" fontId="0" fillId="5" borderId="0" xfId="0" applyNumberForma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34"/>
  <sheetViews>
    <sheetView tabSelected="1" workbookViewId="0">
      <selection activeCell="L6" sqref="L6"/>
    </sheetView>
  </sheetViews>
  <sheetFormatPr defaultRowHeight="15"/>
  <cols>
    <col min="1" max="1" width="7.140625" customWidth="1"/>
    <col min="2" max="2" width="6.28515625" style="3" customWidth="1"/>
    <col min="4" max="4" width="9.140625" style="3"/>
    <col min="5" max="5" width="9.140625" style="12"/>
    <col min="6" max="6" width="7.140625" customWidth="1"/>
    <col min="7" max="7" width="7.7109375" customWidth="1"/>
    <col min="8" max="8" width="9.140625" style="12"/>
    <col min="10" max="10" width="9.140625" style="12"/>
  </cols>
  <sheetData>
    <row r="1" spans="1:12">
      <c r="A1" t="s">
        <v>16</v>
      </c>
    </row>
    <row r="2" spans="1:12">
      <c r="A2" s="1" t="s">
        <v>12</v>
      </c>
      <c r="B2" s="2"/>
      <c r="C2" s="1"/>
      <c r="D2" s="2"/>
      <c r="E2" s="13"/>
      <c r="F2" s="1" t="s">
        <v>13</v>
      </c>
      <c r="G2" s="1"/>
      <c r="H2" s="13"/>
      <c r="I2" s="1"/>
      <c r="J2" s="13"/>
      <c r="K2" s="1" t="s">
        <v>17</v>
      </c>
      <c r="L2" s="1"/>
    </row>
    <row r="3" spans="1:12">
      <c r="A3" s="1" t="s">
        <v>14</v>
      </c>
      <c r="B3" s="2" t="s">
        <v>0</v>
      </c>
      <c r="C3" s="1" t="s">
        <v>1</v>
      </c>
      <c r="D3" s="2" t="s">
        <v>4</v>
      </c>
      <c r="E3" s="13" t="s">
        <v>6</v>
      </c>
      <c r="F3" s="7" t="s">
        <v>14</v>
      </c>
      <c r="G3" s="7" t="s">
        <v>0</v>
      </c>
      <c r="H3" s="14" t="s">
        <v>1</v>
      </c>
      <c r="I3" s="7" t="s">
        <v>4</v>
      </c>
      <c r="J3" s="14" t="s">
        <v>6</v>
      </c>
      <c r="K3" s="4" t="s">
        <v>8</v>
      </c>
      <c r="L3" s="4" t="s">
        <v>10</v>
      </c>
    </row>
    <row r="4" spans="1:12">
      <c r="A4" s="1" t="s">
        <v>15</v>
      </c>
      <c r="B4" s="2" t="s">
        <v>3</v>
      </c>
      <c r="C4" s="1" t="s">
        <v>2</v>
      </c>
      <c r="D4" s="2" t="s">
        <v>5</v>
      </c>
      <c r="E4" s="13" t="s">
        <v>7</v>
      </c>
      <c r="F4" s="7" t="s">
        <v>15</v>
      </c>
      <c r="G4" s="7" t="s">
        <v>3</v>
      </c>
      <c r="H4" s="14" t="s">
        <v>2</v>
      </c>
      <c r="I4" s="7" t="s">
        <v>5</v>
      </c>
      <c r="J4" s="14" t="s">
        <v>7</v>
      </c>
      <c r="K4" s="5" t="s">
        <v>9</v>
      </c>
      <c r="L4" s="4" t="s">
        <v>11</v>
      </c>
    </row>
    <row r="5" spans="1:12">
      <c r="A5" s="17"/>
      <c r="B5" s="18"/>
      <c r="C5" s="17"/>
      <c r="D5" s="18"/>
      <c r="E5" s="19"/>
      <c r="F5" s="17"/>
      <c r="G5" s="17"/>
      <c r="H5" s="19"/>
      <c r="I5" s="17"/>
      <c r="J5" s="19"/>
      <c r="K5" s="17"/>
      <c r="L5" s="17"/>
    </row>
    <row r="6" spans="1:12">
      <c r="A6" s="10" t="str">
        <f ca="1">IF(RAND() &gt;0.5,"M","F")</f>
        <v>F</v>
      </c>
      <c r="B6" s="11">
        <f ca="1">ROUND(IF(D6&lt;25,D6/4+0.2,D6/-15+6),1)</f>
        <v>4.3</v>
      </c>
      <c r="C6" s="10">
        <f ca="1">ROUND(0.6*D6+110,0)</f>
        <v>125</v>
      </c>
      <c r="D6" s="11">
        <f ca="1">ROUND(RAND()*70,1)</f>
        <v>25</v>
      </c>
      <c r="E6" s="16">
        <f ca="1">ROUND(IF(D6&lt;50,D6*35/40+40,D6+42),0)</f>
        <v>62</v>
      </c>
      <c r="F6" s="8" t="str">
        <f ca="1">IF(RAND() &gt;0.5,"M","F")</f>
        <v>M</v>
      </c>
      <c r="G6" s="9">
        <f ca="1">B6+RAND()*1.2-0.5</f>
        <v>3.8393091133386337</v>
      </c>
      <c r="H6" s="15">
        <f ca="1">C6+RAND()*30-15</f>
        <v>116.31262201468957</v>
      </c>
      <c r="I6" s="9">
        <f ca="1">MAX(1,D6+RAND()*20-10)</f>
        <v>15.300169815163972</v>
      </c>
      <c r="J6" s="15">
        <f ca="1">MAX(60,E6+RAND()*20-10)</f>
        <v>60</v>
      </c>
      <c r="K6" s="6">
        <f t="shared" ref="K6:K34" ca="1" si="0">MIN(ROUND(RAND()*9,0)+1,10)</f>
        <v>2</v>
      </c>
      <c r="L6" s="6">
        <f ca="1">K6*ROUND(RAND()*20,0)</f>
        <v>24</v>
      </c>
    </row>
    <row r="7" spans="1:12">
      <c r="A7" s="10" t="str">
        <f t="shared" ref="A7:A34" ca="1" si="1">IF(RAND() &gt;0.5,"M","F")</f>
        <v>F</v>
      </c>
      <c r="B7" s="11">
        <f t="shared" ref="B7:B34" ca="1" si="2">ROUND(IF(D7&lt;25,D7/4+0.2,D7/-15+6),1)</f>
        <v>2.5</v>
      </c>
      <c r="C7" s="10">
        <f t="shared" ref="C7:C34" ca="1" si="3">ROUND(0.6*D7+110,0)</f>
        <v>116</v>
      </c>
      <c r="D7" s="11">
        <f t="shared" ref="D7:D34" ca="1" si="4">ROUND(RAND()*70,1)</f>
        <v>9.3000000000000007</v>
      </c>
      <c r="E7" s="16">
        <f t="shared" ref="E7:E34" ca="1" si="5">ROUND(IF(D7&lt;50,D7*35/40+40,D7+42),0)</f>
        <v>48</v>
      </c>
      <c r="F7" s="8" t="str">
        <f t="shared" ref="F7:F34" ca="1" si="6">IF(RAND() &gt;0.5,"M","F")</f>
        <v>F</v>
      </c>
      <c r="G7" s="9">
        <f t="shared" ref="G7:G34" ca="1" si="7">B7+RAND()*1.2-0.5</f>
        <v>2.4600326968182902</v>
      </c>
      <c r="H7" s="15">
        <f t="shared" ref="H7:H34" ca="1" si="8">C7+RAND()*30-15</f>
        <v>104.4656922745815</v>
      </c>
      <c r="I7" s="9">
        <f t="shared" ref="I7:I34" ca="1" si="9">MAX(1,D7+RAND()*20-10)</f>
        <v>12.161941281429417</v>
      </c>
      <c r="J7" s="15">
        <f t="shared" ref="J7:J34" ca="1" si="10">MAX(60,E7+RAND()*20-10)</f>
        <v>60</v>
      </c>
      <c r="K7" s="6">
        <f t="shared" ca="1" si="0"/>
        <v>5</v>
      </c>
      <c r="L7" s="6">
        <f t="shared" ref="L7:L34" ca="1" si="11">K7*ROUND(RAND()*20,0)</f>
        <v>55</v>
      </c>
    </row>
    <row r="8" spans="1:12">
      <c r="A8" s="10" t="str">
        <f t="shared" ca="1" si="1"/>
        <v>M</v>
      </c>
      <c r="B8" s="11">
        <f t="shared" ca="1" si="2"/>
        <v>3.1</v>
      </c>
      <c r="C8" s="10">
        <f t="shared" ca="1" si="3"/>
        <v>136</v>
      </c>
      <c r="D8" s="11">
        <f t="shared" ca="1" si="4"/>
        <v>43.9</v>
      </c>
      <c r="E8" s="16">
        <f t="shared" ca="1" si="5"/>
        <v>78</v>
      </c>
      <c r="F8" s="8" t="str">
        <f t="shared" ca="1" si="6"/>
        <v>M</v>
      </c>
      <c r="G8" s="9">
        <f t="shared" ca="1" si="7"/>
        <v>3.5104747833159804</v>
      </c>
      <c r="H8" s="15">
        <f t="shared" ca="1" si="8"/>
        <v>145.87343136945009</v>
      </c>
      <c r="I8" s="9">
        <f t="shared" ca="1" si="9"/>
        <v>38.443319388476311</v>
      </c>
      <c r="J8" s="15">
        <f t="shared" ca="1" si="10"/>
        <v>70.671166275932961</v>
      </c>
      <c r="K8" s="6">
        <f t="shared" ca="1" si="0"/>
        <v>1</v>
      </c>
      <c r="L8" s="6">
        <f t="shared" ca="1" si="11"/>
        <v>6</v>
      </c>
    </row>
    <row r="9" spans="1:12">
      <c r="A9" s="10" t="str">
        <f t="shared" ca="1" si="1"/>
        <v>F</v>
      </c>
      <c r="B9" s="11">
        <f t="shared" ca="1" si="2"/>
        <v>3.9</v>
      </c>
      <c r="C9" s="10">
        <f t="shared" ca="1" si="3"/>
        <v>129</v>
      </c>
      <c r="D9" s="11">
        <f t="shared" ca="1" si="4"/>
        <v>31.5</v>
      </c>
      <c r="E9" s="16">
        <f t="shared" ca="1" si="5"/>
        <v>68</v>
      </c>
      <c r="F9" s="8" t="str">
        <f t="shared" ca="1" si="6"/>
        <v>M</v>
      </c>
      <c r="G9" s="9">
        <f t="shared" ca="1" si="7"/>
        <v>3.5122164121079731</v>
      </c>
      <c r="H9" s="15">
        <f t="shared" ca="1" si="8"/>
        <v>127.74806059766556</v>
      </c>
      <c r="I9" s="9">
        <f t="shared" ca="1" si="9"/>
        <v>40.195883139200987</v>
      </c>
      <c r="J9" s="15">
        <f t="shared" ca="1" si="10"/>
        <v>75.542220985453952</v>
      </c>
      <c r="K9" s="6">
        <f t="shared" ca="1" si="0"/>
        <v>5</v>
      </c>
      <c r="L9" s="6">
        <f t="shared" ca="1" si="11"/>
        <v>85</v>
      </c>
    </row>
    <row r="10" spans="1:12">
      <c r="A10" s="10" t="str">
        <f t="shared" ca="1" si="1"/>
        <v>M</v>
      </c>
      <c r="B10" s="11">
        <f t="shared" ca="1" si="2"/>
        <v>3.8</v>
      </c>
      <c r="C10" s="10">
        <f t="shared" ca="1" si="3"/>
        <v>130</v>
      </c>
      <c r="D10" s="11">
        <f t="shared" ca="1" si="4"/>
        <v>33.6</v>
      </c>
      <c r="E10" s="16">
        <f t="shared" ca="1" si="5"/>
        <v>69</v>
      </c>
      <c r="F10" s="8" t="str">
        <f t="shared" ca="1" si="6"/>
        <v>F</v>
      </c>
      <c r="G10" s="9">
        <f t="shared" ca="1" si="7"/>
        <v>3.7277506061256158</v>
      </c>
      <c r="H10" s="15">
        <f t="shared" ca="1" si="8"/>
        <v>141.15913260197655</v>
      </c>
      <c r="I10" s="9">
        <f t="shared" ca="1" si="9"/>
        <v>34.538766430393991</v>
      </c>
      <c r="J10" s="15">
        <f t="shared" ca="1" si="10"/>
        <v>61.854873804121567</v>
      </c>
      <c r="K10" s="6">
        <f t="shared" ca="1" si="0"/>
        <v>4</v>
      </c>
      <c r="L10" s="6">
        <f t="shared" ca="1" si="11"/>
        <v>28</v>
      </c>
    </row>
    <row r="11" spans="1:12">
      <c r="A11" s="10" t="str">
        <f t="shared" ca="1" si="1"/>
        <v>F</v>
      </c>
      <c r="B11" s="11">
        <f t="shared" ca="1" si="2"/>
        <v>3.3</v>
      </c>
      <c r="C11" s="10">
        <f t="shared" ca="1" si="3"/>
        <v>118</v>
      </c>
      <c r="D11" s="11">
        <f t="shared" ca="1" si="4"/>
        <v>12.5</v>
      </c>
      <c r="E11" s="16">
        <f t="shared" ca="1" si="5"/>
        <v>51</v>
      </c>
      <c r="F11" s="8" t="str">
        <f t="shared" ca="1" si="6"/>
        <v>F</v>
      </c>
      <c r="G11" s="9">
        <f t="shared" ca="1" si="7"/>
        <v>3.5499088642094625</v>
      </c>
      <c r="H11" s="15">
        <f t="shared" ca="1" si="8"/>
        <v>106.69469372793502</v>
      </c>
      <c r="I11" s="9">
        <f t="shared" ca="1" si="9"/>
        <v>5.6840476628248027</v>
      </c>
      <c r="J11" s="15">
        <f t="shared" ca="1" si="10"/>
        <v>60</v>
      </c>
      <c r="K11" s="6">
        <f t="shared" ca="1" si="0"/>
        <v>4</v>
      </c>
      <c r="L11" s="6">
        <f t="shared" ca="1" si="11"/>
        <v>40</v>
      </c>
    </row>
    <row r="12" spans="1:12">
      <c r="A12" s="10" t="str">
        <f t="shared" ca="1" si="1"/>
        <v>M</v>
      </c>
      <c r="B12" s="11">
        <f t="shared" ca="1" si="2"/>
        <v>5</v>
      </c>
      <c r="C12" s="10">
        <f t="shared" ca="1" si="3"/>
        <v>121</v>
      </c>
      <c r="D12" s="11">
        <f t="shared" ca="1" si="4"/>
        <v>19</v>
      </c>
      <c r="E12" s="16">
        <f t="shared" ca="1" si="5"/>
        <v>57</v>
      </c>
      <c r="F12" s="8" t="str">
        <f t="shared" ca="1" si="6"/>
        <v>M</v>
      </c>
      <c r="G12" s="9">
        <f t="shared" ca="1" si="7"/>
        <v>4.7265109822763565</v>
      </c>
      <c r="H12" s="15">
        <f t="shared" ca="1" si="8"/>
        <v>109.25730623859899</v>
      </c>
      <c r="I12" s="9">
        <f t="shared" ca="1" si="9"/>
        <v>14.936048858628507</v>
      </c>
      <c r="J12" s="15">
        <f t="shared" ca="1" si="10"/>
        <v>65.947224444875843</v>
      </c>
      <c r="K12" s="6">
        <f t="shared" ca="1" si="0"/>
        <v>7</v>
      </c>
      <c r="L12" s="6">
        <f t="shared" ca="1" si="11"/>
        <v>140</v>
      </c>
    </row>
    <row r="13" spans="1:12">
      <c r="A13" s="10" t="str">
        <f t="shared" ca="1" si="1"/>
        <v>M</v>
      </c>
      <c r="B13" s="11">
        <f t="shared" ca="1" si="2"/>
        <v>1.9</v>
      </c>
      <c r="C13" s="10">
        <f t="shared" ca="1" si="3"/>
        <v>146</v>
      </c>
      <c r="D13" s="11">
        <f t="shared" ca="1" si="4"/>
        <v>60.8</v>
      </c>
      <c r="E13" s="16">
        <f t="shared" ca="1" si="5"/>
        <v>103</v>
      </c>
      <c r="F13" s="8" t="str">
        <f t="shared" ca="1" si="6"/>
        <v>F</v>
      </c>
      <c r="G13" s="9">
        <f t="shared" ca="1" si="7"/>
        <v>2.486826599702249</v>
      </c>
      <c r="H13" s="15">
        <f t="shared" ca="1" si="8"/>
        <v>150.41102613020297</v>
      </c>
      <c r="I13" s="9">
        <f t="shared" ca="1" si="9"/>
        <v>59.790329755656614</v>
      </c>
      <c r="J13" s="15">
        <f t="shared" ca="1" si="10"/>
        <v>99.005391964042261</v>
      </c>
      <c r="K13" s="6">
        <f t="shared" ca="1" si="0"/>
        <v>4</v>
      </c>
      <c r="L13" s="6">
        <f t="shared" ca="1" si="11"/>
        <v>4</v>
      </c>
    </row>
    <row r="14" spans="1:12">
      <c r="A14" s="10" t="str">
        <f t="shared" ca="1" si="1"/>
        <v>F</v>
      </c>
      <c r="B14" s="11">
        <f t="shared" ca="1" si="2"/>
        <v>1.3</v>
      </c>
      <c r="C14" s="10">
        <f t="shared" ca="1" si="3"/>
        <v>113</v>
      </c>
      <c r="D14" s="11">
        <f t="shared" ca="1" si="4"/>
        <v>4.3</v>
      </c>
      <c r="E14" s="16">
        <f t="shared" ca="1" si="5"/>
        <v>44</v>
      </c>
      <c r="F14" s="8" t="str">
        <f t="shared" ca="1" si="6"/>
        <v>M</v>
      </c>
      <c r="G14" s="9">
        <f t="shared" ca="1" si="7"/>
        <v>1.2434585358880013</v>
      </c>
      <c r="H14" s="15">
        <f t="shared" ca="1" si="8"/>
        <v>109.50572629808663</v>
      </c>
      <c r="I14" s="9">
        <f t="shared" ca="1" si="9"/>
        <v>1.2894895407554188</v>
      </c>
      <c r="J14" s="15">
        <f t="shared" ca="1" si="10"/>
        <v>60</v>
      </c>
      <c r="K14" s="6">
        <f t="shared" ca="1" si="0"/>
        <v>6</v>
      </c>
      <c r="L14" s="6">
        <f t="shared" ca="1" si="11"/>
        <v>0</v>
      </c>
    </row>
    <row r="15" spans="1:12">
      <c r="A15" s="10" t="str">
        <f t="shared" ca="1" si="1"/>
        <v>F</v>
      </c>
      <c r="B15" s="11">
        <f t="shared" ca="1" si="2"/>
        <v>1.3</v>
      </c>
      <c r="C15" s="10">
        <f t="shared" ca="1" si="3"/>
        <v>152</v>
      </c>
      <c r="D15" s="11">
        <f t="shared" ca="1" si="4"/>
        <v>69.8</v>
      </c>
      <c r="E15" s="16">
        <f t="shared" ca="1" si="5"/>
        <v>112</v>
      </c>
      <c r="F15" s="8" t="str">
        <f t="shared" ca="1" si="6"/>
        <v>F</v>
      </c>
      <c r="G15" s="9">
        <f t="shared" ca="1" si="7"/>
        <v>1.5656790808542467</v>
      </c>
      <c r="H15" s="15">
        <f t="shared" ca="1" si="8"/>
        <v>158.3174040726272</v>
      </c>
      <c r="I15" s="9">
        <f t="shared" ca="1" si="9"/>
        <v>74.931326227197758</v>
      </c>
      <c r="J15" s="15">
        <f t="shared" ca="1" si="10"/>
        <v>107.60552532700669</v>
      </c>
      <c r="K15" s="6">
        <f t="shared" ca="1" si="0"/>
        <v>5</v>
      </c>
      <c r="L15" s="6">
        <f t="shared" ca="1" si="11"/>
        <v>35</v>
      </c>
    </row>
    <row r="16" spans="1:12">
      <c r="A16" s="10" t="str">
        <f t="shared" ca="1" si="1"/>
        <v>F</v>
      </c>
      <c r="B16" s="11">
        <f t="shared" ca="1" si="2"/>
        <v>1.5</v>
      </c>
      <c r="C16" s="10">
        <f t="shared" ca="1" si="3"/>
        <v>113</v>
      </c>
      <c r="D16" s="11">
        <f t="shared" ca="1" si="4"/>
        <v>5.0999999999999996</v>
      </c>
      <c r="E16" s="16">
        <f t="shared" ca="1" si="5"/>
        <v>44</v>
      </c>
      <c r="F16" s="8" t="str">
        <f t="shared" ca="1" si="6"/>
        <v>F</v>
      </c>
      <c r="G16" s="9">
        <f t="shared" ca="1" si="7"/>
        <v>1.0229933376937268</v>
      </c>
      <c r="H16" s="15">
        <f t="shared" ca="1" si="8"/>
        <v>111.25248894901779</v>
      </c>
      <c r="I16" s="9">
        <f t="shared" ca="1" si="9"/>
        <v>9.3546288768124768</v>
      </c>
      <c r="J16" s="15">
        <f t="shared" ca="1" si="10"/>
        <v>60</v>
      </c>
      <c r="K16" s="6">
        <f t="shared" ca="1" si="0"/>
        <v>10</v>
      </c>
      <c r="L16" s="6">
        <f t="shared" ca="1" si="11"/>
        <v>120</v>
      </c>
    </row>
    <row r="17" spans="1:12">
      <c r="A17" s="10" t="str">
        <f t="shared" ca="1" si="1"/>
        <v>F</v>
      </c>
      <c r="B17" s="11">
        <f t="shared" ca="1" si="2"/>
        <v>3.5</v>
      </c>
      <c r="C17" s="10">
        <f t="shared" ca="1" si="3"/>
        <v>133</v>
      </c>
      <c r="D17" s="11">
        <f t="shared" ca="1" si="4"/>
        <v>37.799999999999997</v>
      </c>
      <c r="E17" s="16">
        <f t="shared" ca="1" si="5"/>
        <v>73</v>
      </c>
      <c r="F17" s="8" t="str">
        <f t="shared" ca="1" si="6"/>
        <v>M</v>
      </c>
      <c r="G17" s="9">
        <f t="shared" ca="1" si="7"/>
        <v>3.7844342563352544</v>
      </c>
      <c r="H17" s="15">
        <f t="shared" ca="1" si="8"/>
        <v>147.75958285562066</v>
      </c>
      <c r="I17" s="9">
        <f t="shared" ca="1" si="9"/>
        <v>42.582454002345749</v>
      </c>
      <c r="J17" s="15">
        <f t="shared" ca="1" si="10"/>
        <v>68.004142743788407</v>
      </c>
      <c r="K17" s="6">
        <f t="shared" ca="1" si="0"/>
        <v>4</v>
      </c>
      <c r="L17" s="6">
        <f t="shared" ca="1" si="11"/>
        <v>60</v>
      </c>
    </row>
    <row r="18" spans="1:12">
      <c r="A18" s="10" t="str">
        <f t="shared" ca="1" si="1"/>
        <v>F</v>
      </c>
      <c r="B18" s="11">
        <f t="shared" ca="1" si="2"/>
        <v>0.4</v>
      </c>
      <c r="C18" s="10">
        <f t="shared" ca="1" si="3"/>
        <v>110</v>
      </c>
      <c r="D18" s="11">
        <f t="shared" ca="1" si="4"/>
        <v>0.7</v>
      </c>
      <c r="E18" s="16">
        <f t="shared" ca="1" si="5"/>
        <v>41</v>
      </c>
      <c r="F18" s="8" t="str">
        <f t="shared" ca="1" si="6"/>
        <v>M</v>
      </c>
      <c r="G18" s="9">
        <f t="shared" ca="1" si="7"/>
        <v>0.67418942078247523</v>
      </c>
      <c r="H18" s="15">
        <f t="shared" ca="1" si="8"/>
        <v>119.98789218572628</v>
      </c>
      <c r="I18" s="9">
        <f t="shared" ca="1" si="9"/>
        <v>4.6833664366289582</v>
      </c>
      <c r="J18" s="15">
        <f t="shared" ca="1" si="10"/>
        <v>60</v>
      </c>
      <c r="K18" s="6">
        <f t="shared" ca="1" si="0"/>
        <v>3</v>
      </c>
      <c r="L18" s="6">
        <f t="shared" ca="1" si="11"/>
        <v>60</v>
      </c>
    </row>
    <row r="19" spans="1:12">
      <c r="A19" s="10" t="str">
        <f t="shared" ca="1" si="1"/>
        <v>F</v>
      </c>
      <c r="B19" s="11">
        <f t="shared" ca="1" si="2"/>
        <v>1.7</v>
      </c>
      <c r="C19" s="10">
        <f t="shared" ca="1" si="3"/>
        <v>114</v>
      </c>
      <c r="D19" s="11">
        <f t="shared" ca="1" si="4"/>
        <v>5.9</v>
      </c>
      <c r="E19" s="16">
        <f t="shared" ca="1" si="5"/>
        <v>45</v>
      </c>
      <c r="F19" s="8" t="str">
        <f t="shared" ca="1" si="6"/>
        <v>M</v>
      </c>
      <c r="G19" s="9">
        <f t="shared" ca="1" si="7"/>
        <v>1.3198511434919857</v>
      </c>
      <c r="H19" s="15">
        <f t="shared" ca="1" si="8"/>
        <v>105.48797855698569</v>
      </c>
      <c r="I19" s="9">
        <f t="shared" ca="1" si="9"/>
        <v>13.505096726284123</v>
      </c>
      <c r="J19" s="15">
        <f t="shared" ca="1" si="10"/>
        <v>60</v>
      </c>
      <c r="K19" s="6">
        <f t="shared" ca="1" si="0"/>
        <v>6</v>
      </c>
      <c r="L19" s="6">
        <f t="shared" ca="1" si="11"/>
        <v>66</v>
      </c>
    </row>
    <row r="20" spans="1:12">
      <c r="A20" s="10" t="str">
        <f t="shared" ca="1" si="1"/>
        <v>M</v>
      </c>
      <c r="B20" s="11">
        <f t="shared" ca="1" si="2"/>
        <v>2.4</v>
      </c>
      <c r="C20" s="10">
        <f t="shared" ca="1" si="3"/>
        <v>143</v>
      </c>
      <c r="D20" s="11">
        <f t="shared" ca="1" si="4"/>
        <v>54.5</v>
      </c>
      <c r="E20" s="16">
        <f t="shared" ca="1" si="5"/>
        <v>97</v>
      </c>
      <c r="F20" s="8" t="str">
        <f t="shared" ca="1" si="6"/>
        <v>F</v>
      </c>
      <c r="G20" s="9">
        <f t="shared" ca="1" si="7"/>
        <v>2.8776102853512615</v>
      </c>
      <c r="H20" s="15">
        <f t="shared" ca="1" si="8"/>
        <v>150.87651869610761</v>
      </c>
      <c r="I20" s="9">
        <f t="shared" ca="1" si="9"/>
        <v>61.499469003782494</v>
      </c>
      <c r="J20" s="15">
        <f t="shared" ca="1" si="10"/>
        <v>99.146100249569244</v>
      </c>
      <c r="K20" s="6">
        <f t="shared" ca="1" si="0"/>
        <v>8</v>
      </c>
      <c r="L20" s="6">
        <f t="shared" ca="1" si="11"/>
        <v>56</v>
      </c>
    </row>
    <row r="21" spans="1:12">
      <c r="A21" s="10" t="str">
        <f t="shared" ca="1" si="1"/>
        <v>F</v>
      </c>
      <c r="B21" s="11">
        <f t="shared" ca="1" si="2"/>
        <v>1.3</v>
      </c>
      <c r="C21" s="10">
        <f t="shared" ca="1" si="3"/>
        <v>113</v>
      </c>
      <c r="D21" s="11">
        <f t="shared" ca="1" si="4"/>
        <v>4.5</v>
      </c>
      <c r="E21" s="16">
        <f t="shared" ca="1" si="5"/>
        <v>44</v>
      </c>
      <c r="F21" s="8" t="str">
        <f t="shared" ca="1" si="6"/>
        <v>F</v>
      </c>
      <c r="G21" s="9">
        <f t="shared" ca="1" si="7"/>
        <v>0.94504331013883558</v>
      </c>
      <c r="H21" s="15">
        <f t="shared" ca="1" si="8"/>
        <v>118.45750847314139</v>
      </c>
      <c r="I21" s="9">
        <f t="shared" ca="1" si="9"/>
        <v>5.8071825814873606</v>
      </c>
      <c r="J21" s="15">
        <f t="shared" ca="1" si="10"/>
        <v>60</v>
      </c>
      <c r="K21" s="6">
        <f t="shared" ca="1" si="0"/>
        <v>8</v>
      </c>
      <c r="L21" s="6">
        <f t="shared" ca="1" si="11"/>
        <v>160</v>
      </c>
    </row>
    <row r="22" spans="1:12">
      <c r="A22" s="10" t="str">
        <f t="shared" ca="1" si="1"/>
        <v>M</v>
      </c>
      <c r="B22" s="11">
        <f t="shared" ca="1" si="2"/>
        <v>2.2999999999999998</v>
      </c>
      <c r="C22" s="10">
        <f t="shared" ca="1" si="3"/>
        <v>115</v>
      </c>
      <c r="D22" s="11">
        <f t="shared" ca="1" si="4"/>
        <v>8.3000000000000007</v>
      </c>
      <c r="E22" s="16">
        <f t="shared" ca="1" si="5"/>
        <v>47</v>
      </c>
      <c r="F22" s="8" t="str">
        <f t="shared" ca="1" si="6"/>
        <v>F</v>
      </c>
      <c r="G22" s="9">
        <f t="shared" ca="1" si="7"/>
        <v>2.1207975346017514</v>
      </c>
      <c r="H22" s="15">
        <f t="shared" ca="1" si="8"/>
        <v>108.13415087199166</v>
      </c>
      <c r="I22" s="9">
        <f t="shared" ca="1" si="9"/>
        <v>1</v>
      </c>
      <c r="J22" s="15">
        <f t="shared" ca="1" si="10"/>
        <v>60</v>
      </c>
      <c r="K22" s="6">
        <f t="shared" ca="1" si="0"/>
        <v>1</v>
      </c>
      <c r="L22" s="6">
        <f t="shared" ca="1" si="11"/>
        <v>3</v>
      </c>
    </row>
    <row r="23" spans="1:12">
      <c r="A23" s="10" t="str">
        <f t="shared" ca="1" si="1"/>
        <v>F</v>
      </c>
      <c r="B23" s="11">
        <f t="shared" ca="1" si="2"/>
        <v>1.8</v>
      </c>
      <c r="C23" s="10">
        <f t="shared" ca="1" si="3"/>
        <v>148</v>
      </c>
      <c r="D23" s="11">
        <f t="shared" ca="1" si="4"/>
        <v>63.4</v>
      </c>
      <c r="E23" s="16">
        <f t="shared" ca="1" si="5"/>
        <v>105</v>
      </c>
      <c r="F23" s="8" t="str">
        <f t="shared" ca="1" si="6"/>
        <v>F</v>
      </c>
      <c r="G23" s="9">
        <f t="shared" ca="1" si="7"/>
        <v>1.6418138156737698</v>
      </c>
      <c r="H23" s="15">
        <f t="shared" ca="1" si="8"/>
        <v>161.30034861783406</v>
      </c>
      <c r="I23" s="9">
        <f t="shared" ca="1" si="9"/>
        <v>59.757788891744013</v>
      </c>
      <c r="J23" s="15">
        <f t="shared" ca="1" si="10"/>
        <v>98.554427717182477</v>
      </c>
      <c r="K23" s="6">
        <f t="shared" ca="1" si="0"/>
        <v>9</v>
      </c>
      <c r="L23" s="6">
        <f t="shared" ca="1" si="11"/>
        <v>18</v>
      </c>
    </row>
    <row r="24" spans="1:12">
      <c r="A24" s="10" t="str">
        <f t="shared" ca="1" si="1"/>
        <v>F</v>
      </c>
      <c r="B24" s="11">
        <f t="shared" ca="1" si="2"/>
        <v>2.9</v>
      </c>
      <c r="C24" s="10">
        <f t="shared" ca="1" si="3"/>
        <v>137</v>
      </c>
      <c r="D24" s="11">
        <f t="shared" ca="1" si="4"/>
        <v>45.8</v>
      </c>
      <c r="E24" s="16">
        <f t="shared" ca="1" si="5"/>
        <v>80</v>
      </c>
      <c r="F24" s="8" t="str">
        <f t="shared" ca="1" si="6"/>
        <v>F</v>
      </c>
      <c r="G24" s="9">
        <f t="shared" ca="1" si="7"/>
        <v>3.2858655903633407</v>
      </c>
      <c r="H24" s="15">
        <f t="shared" ca="1" si="8"/>
        <v>150.69327517699764</v>
      </c>
      <c r="I24" s="9">
        <f t="shared" ca="1" si="9"/>
        <v>53.431063653704783</v>
      </c>
      <c r="J24" s="15">
        <f t="shared" ca="1" si="10"/>
        <v>70.53431282797483</v>
      </c>
      <c r="K24" s="6">
        <f t="shared" ca="1" si="0"/>
        <v>3</v>
      </c>
      <c r="L24" s="6">
        <f t="shared" ca="1" si="11"/>
        <v>33</v>
      </c>
    </row>
    <row r="25" spans="1:12">
      <c r="A25" s="10" t="str">
        <f t="shared" ca="1" si="1"/>
        <v>F</v>
      </c>
      <c r="B25" s="11">
        <f t="shared" ca="1" si="2"/>
        <v>3.9</v>
      </c>
      <c r="C25" s="10">
        <f t="shared" ca="1" si="3"/>
        <v>129</v>
      </c>
      <c r="D25" s="11">
        <f t="shared" ca="1" si="4"/>
        <v>31.6</v>
      </c>
      <c r="E25" s="16">
        <f t="shared" ca="1" si="5"/>
        <v>68</v>
      </c>
      <c r="F25" s="8" t="str">
        <f t="shared" ca="1" si="6"/>
        <v>M</v>
      </c>
      <c r="G25" s="9">
        <f t="shared" ca="1" si="7"/>
        <v>4.3015354245603561</v>
      </c>
      <c r="H25" s="15">
        <f t="shared" ca="1" si="8"/>
        <v>130.60490314157099</v>
      </c>
      <c r="I25" s="9">
        <f t="shared" ca="1" si="9"/>
        <v>35.247014079976076</v>
      </c>
      <c r="J25" s="15">
        <f t="shared" ca="1" si="10"/>
        <v>77.737026416103149</v>
      </c>
      <c r="K25" s="6">
        <f t="shared" ca="1" si="0"/>
        <v>6</v>
      </c>
      <c r="L25" s="6">
        <f t="shared" ca="1" si="11"/>
        <v>36</v>
      </c>
    </row>
    <row r="26" spans="1:12">
      <c r="A26" s="10" t="str">
        <f t="shared" ca="1" si="1"/>
        <v>F</v>
      </c>
      <c r="B26" s="11">
        <f t="shared" ca="1" si="2"/>
        <v>5.8</v>
      </c>
      <c r="C26" s="10">
        <f t="shared" ca="1" si="3"/>
        <v>123</v>
      </c>
      <c r="D26" s="11">
        <f t="shared" ca="1" si="4"/>
        <v>22.4</v>
      </c>
      <c r="E26" s="16">
        <f t="shared" ca="1" si="5"/>
        <v>60</v>
      </c>
      <c r="F26" s="8" t="str">
        <f t="shared" ca="1" si="6"/>
        <v>F</v>
      </c>
      <c r="G26" s="9">
        <f t="shared" ca="1" si="7"/>
        <v>6.0679514783885624</v>
      </c>
      <c r="H26" s="15">
        <f t="shared" ca="1" si="8"/>
        <v>114.3989361136741</v>
      </c>
      <c r="I26" s="9">
        <f t="shared" ca="1" si="9"/>
        <v>19.678982276518578</v>
      </c>
      <c r="J26" s="15">
        <f t="shared" ca="1" si="10"/>
        <v>60</v>
      </c>
      <c r="K26" s="6">
        <f t="shared" ca="1" si="0"/>
        <v>1</v>
      </c>
      <c r="L26" s="6">
        <f t="shared" ca="1" si="11"/>
        <v>13</v>
      </c>
    </row>
    <row r="27" spans="1:12">
      <c r="A27" s="10" t="str">
        <f t="shared" ca="1" si="1"/>
        <v>M</v>
      </c>
      <c r="B27" s="11">
        <f t="shared" ca="1" si="2"/>
        <v>2</v>
      </c>
      <c r="C27" s="10">
        <f t="shared" ca="1" si="3"/>
        <v>114</v>
      </c>
      <c r="D27" s="11">
        <f t="shared" ca="1" si="4"/>
        <v>7</v>
      </c>
      <c r="E27" s="16">
        <f t="shared" ca="1" si="5"/>
        <v>46</v>
      </c>
      <c r="F27" s="8" t="str">
        <f t="shared" ca="1" si="6"/>
        <v>F</v>
      </c>
      <c r="G27" s="9">
        <f t="shared" ca="1" si="7"/>
        <v>2.1559956732913346</v>
      </c>
      <c r="H27" s="15">
        <f t="shared" ca="1" si="8"/>
        <v>127.19240720492604</v>
      </c>
      <c r="I27" s="9">
        <f t="shared" ca="1" si="9"/>
        <v>1.9458007294864892</v>
      </c>
      <c r="J27" s="15">
        <f t="shared" ca="1" si="10"/>
        <v>60</v>
      </c>
      <c r="K27" s="6">
        <f t="shared" ca="1" si="0"/>
        <v>8</v>
      </c>
      <c r="L27" s="6">
        <f t="shared" ca="1" si="11"/>
        <v>72</v>
      </c>
    </row>
    <row r="28" spans="1:12">
      <c r="A28" s="10" t="str">
        <f t="shared" ca="1" si="1"/>
        <v>M</v>
      </c>
      <c r="B28" s="11">
        <f t="shared" ca="1" si="2"/>
        <v>2.4</v>
      </c>
      <c r="C28" s="10">
        <f t="shared" ca="1" si="3"/>
        <v>142</v>
      </c>
      <c r="D28" s="11">
        <f t="shared" ca="1" si="4"/>
        <v>54</v>
      </c>
      <c r="E28" s="16">
        <f t="shared" ca="1" si="5"/>
        <v>96</v>
      </c>
      <c r="F28" s="8" t="str">
        <f t="shared" ca="1" si="6"/>
        <v>M</v>
      </c>
      <c r="G28" s="9">
        <f t="shared" ca="1" si="7"/>
        <v>2.3053942601684763</v>
      </c>
      <c r="H28" s="15">
        <f t="shared" ca="1" si="8"/>
        <v>137.64571659722483</v>
      </c>
      <c r="I28" s="9">
        <f t="shared" ca="1" si="9"/>
        <v>54.336997496075554</v>
      </c>
      <c r="J28" s="15">
        <f t="shared" ca="1" si="10"/>
        <v>101.88993251338917</v>
      </c>
      <c r="K28" s="6">
        <f t="shared" ca="1" si="0"/>
        <v>10</v>
      </c>
      <c r="L28" s="6">
        <f t="shared" ca="1" si="11"/>
        <v>80</v>
      </c>
    </row>
    <row r="29" spans="1:12">
      <c r="A29" s="10" t="str">
        <f t="shared" ca="1" si="1"/>
        <v>M</v>
      </c>
      <c r="B29" s="11">
        <f t="shared" ca="1" si="2"/>
        <v>4.2</v>
      </c>
      <c r="C29" s="10">
        <f t="shared" ca="1" si="3"/>
        <v>126</v>
      </c>
      <c r="D29" s="11">
        <f t="shared" ca="1" si="4"/>
        <v>27.1</v>
      </c>
      <c r="E29" s="16">
        <f t="shared" ca="1" si="5"/>
        <v>64</v>
      </c>
      <c r="F29" s="8" t="str">
        <f t="shared" ca="1" si="6"/>
        <v>M</v>
      </c>
      <c r="G29" s="9">
        <f t="shared" ca="1" si="7"/>
        <v>4.2632275343551322</v>
      </c>
      <c r="H29" s="15">
        <f t="shared" ca="1" si="8"/>
        <v>119.93395166806931</v>
      </c>
      <c r="I29" s="9">
        <f t="shared" ca="1" si="9"/>
        <v>35.317551978455171</v>
      </c>
      <c r="J29" s="15">
        <f t="shared" ca="1" si="10"/>
        <v>72.139835853168549</v>
      </c>
      <c r="K29" s="6">
        <f t="shared" ca="1" si="0"/>
        <v>3</v>
      </c>
      <c r="L29" s="6">
        <f t="shared" ca="1" si="11"/>
        <v>6</v>
      </c>
    </row>
    <row r="30" spans="1:12">
      <c r="A30" s="10" t="str">
        <f t="shared" ca="1" si="1"/>
        <v>F</v>
      </c>
      <c r="B30" s="11">
        <f t="shared" ca="1" si="2"/>
        <v>3</v>
      </c>
      <c r="C30" s="10">
        <f t="shared" ca="1" si="3"/>
        <v>137</v>
      </c>
      <c r="D30" s="11">
        <f t="shared" ca="1" si="4"/>
        <v>45.2</v>
      </c>
      <c r="E30" s="16">
        <f t="shared" ca="1" si="5"/>
        <v>80</v>
      </c>
      <c r="F30" s="8" t="str">
        <f t="shared" ca="1" si="6"/>
        <v>M</v>
      </c>
      <c r="G30" s="9">
        <f t="shared" ca="1" si="7"/>
        <v>3.2576366846095803</v>
      </c>
      <c r="H30" s="15">
        <f t="shared" ca="1" si="8"/>
        <v>140.18013666702859</v>
      </c>
      <c r="I30" s="9">
        <f t="shared" ca="1" si="9"/>
        <v>35.42345999536343</v>
      </c>
      <c r="J30" s="15">
        <f t="shared" ca="1" si="10"/>
        <v>89.312471905376796</v>
      </c>
      <c r="K30" s="6">
        <f t="shared" ca="1" si="0"/>
        <v>6</v>
      </c>
      <c r="L30" s="6">
        <f t="shared" ca="1" si="11"/>
        <v>6</v>
      </c>
    </row>
    <row r="31" spans="1:12">
      <c r="A31" s="10" t="str">
        <f t="shared" ca="1" si="1"/>
        <v>F</v>
      </c>
      <c r="B31" s="11">
        <f t="shared" ca="1" si="2"/>
        <v>3.6</v>
      </c>
      <c r="C31" s="10">
        <f t="shared" ca="1" si="3"/>
        <v>118</v>
      </c>
      <c r="D31" s="11">
        <f t="shared" ca="1" si="4"/>
        <v>13.4</v>
      </c>
      <c r="E31" s="16">
        <f t="shared" ca="1" si="5"/>
        <v>52</v>
      </c>
      <c r="F31" s="8" t="str">
        <f t="shared" ca="1" si="6"/>
        <v>M</v>
      </c>
      <c r="G31" s="9">
        <f t="shared" ca="1" si="7"/>
        <v>3.6580194709636054</v>
      </c>
      <c r="H31" s="15">
        <f t="shared" ca="1" si="8"/>
        <v>108.77967962520755</v>
      </c>
      <c r="I31" s="9">
        <f t="shared" ca="1" si="9"/>
        <v>5.5013988299347023</v>
      </c>
      <c r="J31" s="15">
        <f t="shared" ca="1" si="10"/>
        <v>60</v>
      </c>
      <c r="K31" s="6">
        <f t="shared" ca="1" si="0"/>
        <v>6</v>
      </c>
      <c r="L31" s="6">
        <f t="shared" ca="1" si="11"/>
        <v>84</v>
      </c>
    </row>
    <row r="32" spans="1:12">
      <c r="A32" s="10" t="str">
        <f t="shared" ca="1" si="1"/>
        <v>M</v>
      </c>
      <c r="B32" s="11">
        <f t="shared" ca="1" si="2"/>
        <v>6.3</v>
      </c>
      <c r="C32" s="10">
        <f t="shared" ca="1" si="3"/>
        <v>125</v>
      </c>
      <c r="D32" s="11">
        <f t="shared" ca="1" si="4"/>
        <v>24.2</v>
      </c>
      <c r="E32" s="16">
        <f t="shared" ca="1" si="5"/>
        <v>61</v>
      </c>
      <c r="F32" s="8" t="str">
        <f t="shared" ca="1" si="6"/>
        <v>F</v>
      </c>
      <c r="G32" s="9">
        <f t="shared" ca="1" si="7"/>
        <v>6.8965044161103091</v>
      </c>
      <c r="H32" s="15">
        <f t="shared" ca="1" si="8"/>
        <v>135.09500289584275</v>
      </c>
      <c r="I32" s="9">
        <f t="shared" ca="1" si="9"/>
        <v>26.848963134004151</v>
      </c>
      <c r="J32" s="15">
        <f t="shared" ca="1" si="10"/>
        <v>61.28126834941169</v>
      </c>
      <c r="K32" s="6">
        <f t="shared" ca="1" si="0"/>
        <v>6</v>
      </c>
      <c r="L32" s="6">
        <f t="shared" ca="1" si="11"/>
        <v>54</v>
      </c>
    </row>
    <row r="33" spans="1:12">
      <c r="A33" s="10" t="str">
        <f t="shared" ca="1" si="1"/>
        <v>M</v>
      </c>
      <c r="B33" s="11">
        <f t="shared" ca="1" si="2"/>
        <v>3.1</v>
      </c>
      <c r="C33" s="10">
        <f t="shared" ca="1" si="3"/>
        <v>136</v>
      </c>
      <c r="D33" s="11">
        <f t="shared" ca="1" si="4"/>
        <v>44.1</v>
      </c>
      <c r="E33" s="16">
        <f t="shared" ca="1" si="5"/>
        <v>79</v>
      </c>
      <c r="F33" s="8" t="str">
        <f t="shared" ca="1" si="6"/>
        <v>F</v>
      </c>
      <c r="G33" s="9">
        <f t="shared" ca="1" si="7"/>
        <v>3.484695558099745</v>
      </c>
      <c r="H33" s="15">
        <f t="shared" ca="1" si="8"/>
        <v>133.44430898498388</v>
      </c>
      <c r="I33" s="9">
        <f t="shared" ca="1" si="9"/>
        <v>42.027158548955512</v>
      </c>
      <c r="J33" s="15">
        <f t="shared" ca="1" si="10"/>
        <v>71.191346875173423</v>
      </c>
      <c r="K33" s="6">
        <f t="shared" ca="1" si="0"/>
        <v>6</v>
      </c>
      <c r="L33" s="6">
        <f t="shared" ca="1" si="11"/>
        <v>60</v>
      </c>
    </row>
    <row r="34" spans="1:12">
      <c r="A34" s="10" t="str">
        <f t="shared" ca="1" si="1"/>
        <v>M</v>
      </c>
      <c r="B34" s="11">
        <f t="shared" ca="1" si="2"/>
        <v>2.7</v>
      </c>
      <c r="C34" s="10">
        <f t="shared" ca="1" si="3"/>
        <v>139</v>
      </c>
      <c r="D34" s="11">
        <f t="shared" ca="1" si="4"/>
        <v>48.9</v>
      </c>
      <c r="E34" s="16">
        <f t="shared" ca="1" si="5"/>
        <v>83</v>
      </c>
      <c r="F34" s="8" t="str">
        <f t="shared" ca="1" si="6"/>
        <v>M</v>
      </c>
      <c r="G34" s="9">
        <f t="shared" ca="1" si="7"/>
        <v>2.8168330086397213</v>
      </c>
      <c r="H34" s="15">
        <f t="shared" ca="1" si="8"/>
        <v>148.05884417005512</v>
      </c>
      <c r="I34" s="9">
        <f t="shared" ca="1" si="9"/>
        <v>55.692923078852402</v>
      </c>
      <c r="J34" s="15">
        <f t="shared" ca="1" si="10"/>
        <v>80.266466387087945</v>
      </c>
      <c r="K34" s="6">
        <f t="shared" ca="1" si="0"/>
        <v>9</v>
      </c>
      <c r="L34" s="6">
        <f t="shared" ca="1" si="11"/>
        <v>126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2018-11-10T15:50:36Z</dcterms:created>
  <dcterms:modified xsi:type="dcterms:W3CDTF">2018-11-10T17:12:27Z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4b5ecf2f-cf8f-4526-a67a-054c10337ee3</vt:lpwstr>
  </property>
</Properties>
</file>